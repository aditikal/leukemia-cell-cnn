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051a39d4d151a3/Documents/"/>
    </mc:Choice>
  </mc:AlternateContent>
  <xr:revisionPtr revIDLastSave="169" documentId="8_{68005D3C-56AB-4220-918B-D7EEEE69B26F}" xr6:coauthVersionLast="47" xr6:coauthVersionMax="47" xr10:uidLastSave="{6EA806C7-599A-4A3A-819D-7286FBD7866D}"/>
  <bookViews>
    <workbookView xWindow="-110" yWindow="-110" windowWidth="19420" windowHeight="11500" activeTab="1" xr2:uid="{A0829CD1-A212-4001-9822-0BE4C00F71D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9" i="2" l="1"/>
  <c r="R8" i="2"/>
  <c r="Q9" i="2"/>
  <c r="Q8" i="2"/>
  <c r="R7" i="2"/>
  <c r="R6" i="2"/>
  <c r="Q7" i="2"/>
  <c r="Q6" i="2"/>
  <c r="R5" i="2"/>
  <c r="Q5" i="2"/>
  <c r="R4" i="2"/>
  <c r="Q4" i="2"/>
</calcChain>
</file>

<file path=xl/sharedStrings.xml><?xml version="1.0" encoding="utf-8"?>
<sst xmlns="http://schemas.openxmlformats.org/spreadsheetml/2006/main" count="169" uniqueCount="28">
  <si>
    <t>PIPELINE 1: RAW IMAGES</t>
  </si>
  <si>
    <t>Seed</t>
  </si>
  <si>
    <t>Accuracy</t>
  </si>
  <si>
    <t>Recall</t>
  </si>
  <si>
    <t>F1</t>
  </si>
  <si>
    <t>FN</t>
  </si>
  <si>
    <t>TN</t>
  </si>
  <si>
    <t>TP</t>
  </si>
  <si>
    <t>FP</t>
  </si>
  <si>
    <t>Metric</t>
  </si>
  <si>
    <t>Benign</t>
  </si>
  <si>
    <t>Malignant</t>
  </si>
  <si>
    <t>Precision</t>
  </si>
  <si>
    <t>PIPELINE 2: WBC ISOLATION</t>
  </si>
  <si>
    <t>OVERALL STATS</t>
  </si>
  <si>
    <t>Precision STD</t>
  </si>
  <si>
    <t>Recall STD</t>
  </si>
  <si>
    <t>F1 STD</t>
  </si>
  <si>
    <t>Accuracy &amp; Confusion Matrix Results</t>
  </si>
  <si>
    <t>Classification Metics</t>
  </si>
  <si>
    <t>Classification Metrics</t>
  </si>
  <si>
    <t>Pipeline 1</t>
  </si>
  <si>
    <t>Pipeline 2</t>
  </si>
  <si>
    <t>Average Accuracy</t>
  </si>
  <si>
    <t>STDEV</t>
  </si>
  <si>
    <t>Malignant Recall / Sensitivity</t>
  </si>
  <si>
    <t>Benign Recall / Specificity</t>
  </si>
  <si>
    <t>OVERALL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</si>
</sst>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5523-A12A-496E-A659-0E3E16583BB4}">
  <dimension ref="A1:M41"/>
  <sheetViews>
    <sheetView topLeftCell="A11" zoomScale="76" workbookViewId="0">
      <selection activeCell="A31" sqref="A31:C34"/>
    </sheetView>
  </sheetViews>
  <sheetFormatPr defaultRowHeight="14.5" x14ac:dyDescent="0.35"/>
  <cols>
    <col min="1" max="1" width="12.7265625" customWidth="1"/>
    <col min="2" max="2" width="10.90625" bestFit="1" customWidth="1"/>
    <col min="3" max="3" width="9.26953125" bestFit="1" customWidth="1"/>
  </cols>
  <sheetData>
    <row r="1" spans="1:13" x14ac:dyDescent="0.35">
      <c r="A1" t="s">
        <v>0</v>
      </c>
      <c r="H1" t="s">
        <v>13</v>
      </c>
    </row>
    <row r="3" spans="1:13" x14ac:dyDescent="0.35">
      <c r="A3" t="s">
        <v>1</v>
      </c>
      <c r="B3" t="s">
        <v>2</v>
      </c>
      <c r="C3" t="s">
        <v>6</v>
      </c>
      <c r="D3" t="s">
        <v>8</v>
      </c>
      <c r="E3" t="s">
        <v>5</v>
      </c>
      <c r="F3" t="s">
        <v>7</v>
      </c>
      <c r="H3" t="s">
        <v>1</v>
      </c>
      <c r="I3" t="s">
        <v>2</v>
      </c>
      <c r="J3" t="s">
        <v>6</v>
      </c>
      <c r="K3" t="s">
        <v>8</v>
      </c>
      <c r="L3" t="s">
        <v>5</v>
      </c>
      <c r="M3" t="s">
        <v>7</v>
      </c>
    </row>
    <row r="4" spans="1:13" x14ac:dyDescent="0.35">
      <c r="A4">
        <v>42</v>
      </c>
      <c r="B4" s="1">
        <v>0.942857146263122</v>
      </c>
      <c r="C4">
        <v>92</v>
      </c>
      <c r="D4">
        <v>13</v>
      </c>
      <c r="E4">
        <v>13</v>
      </c>
      <c r="F4">
        <v>337</v>
      </c>
      <c r="H4">
        <v>42</v>
      </c>
      <c r="I4" s="1">
        <v>0.90329670906066895</v>
      </c>
      <c r="J4">
        <v>73</v>
      </c>
      <c r="K4">
        <v>32</v>
      </c>
      <c r="L4">
        <v>12</v>
      </c>
      <c r="M4">
        <v>338</v>
      </c>
    </row>
    <row r="5" spans="1:13" x14ac:dyDescent="0.35">
      <c r="A5">
        <v>43</v>
      </c>
      <c r="B5" s="1">
        <v>0.95384615659713701</v>
      </c>
      <c r="C5">
        <v>101</v>
      </c>
      <c r="D5">
        <v>2</v>
      </c>
      <c r="E5">
        <v>19</v>
      </c>
      <c r="F5">
        <v>333</v>
      </c>
      <c r="H5">
        <v>43</v>
      </c>
      <c r="I5" s="1">
        <v>0.93626374006271296</v>
      </c>
      <c r="J5">
        <v>90</v>
      </c>
      <c r="K5">
        <v>13</v>
      </c>
      <c r="L5">
        <v>16</v>
      </c>
      <c r="M5">
        <v>336</v>
      </c>
    </row>
    <row r="6" spans="1:13" x14ac:dyDescent="0.35">
      <c r="A6">
        <v>44</v>
      </c>
      <c r="B6" s="1">
        <v>0.95824176073074296</v>
      </c>
      <c r="C6">
        <v>87</v>
      </c>
      <c r="D6">
        <v>9</v>
      </c>
      <c r="E6">
        <v>11</v>
      </c>
      <c r="F6">
        <v>349</v>
      </c>
      <c r="H6">
        <v>44</v>
      </c>
      <c r="I6" s="1">
        <v>0.94065934419631902</v>
      </c>
      <c r="J6">
        <v>83</v>
      </c>
      <c r="K6">
        <v>12</v>
      </c>
      <c r="L6">
        <v>15</v>
      </c>
      <c r="M6">
        <v>345</v>
      </c>
    </row>
    <row r="7" spans="1:13" x14ac:dyDescent="0.35">
      <c r="A7">
        <v>45</v>
      </c>
      <c r="B7" s="1">
        <v>0.93626374006271296</v>
      </c>
      <c r="C7">
        <v>94</v>
      </c>
      <c r="D7">
        <v>17</v>
      </c>
      <c r="E7">
        <v>12</v>
      </c>
      <c r="F7">
        <v>332</v>
      </c>
      <c r="H7">
        <v>45</v>
      </c>
      <c r="I7" s="1">
        <v>0.90549451112747104</v>
      </c>
      <c r="J7">
        <v>83</v>
      </c>
      <c r="K7">
        <v>28</v>
      </c>
      <c r="L7">
        <v>15</v>
      </c>
      <c r="M7">
        <v>329</v>
      </c>
    </row>
    <row r="8" spans="1:13" x14ac:dyDescent="0.35">
      <c r="A8">
        <v>46</v>
      </c>
      <c r="B8" s="1">
        <v>0.97582417726516701</v>
      </c>
      <c r="C8">
        <v>97</v>
      </c>
      <c r="D8">
        <v>8</v>
      </c>
      <c r="E8">
        <v>3</v>
      </c>
      <c r="F8">
        <v>347</v>
      </c>
      <c r="H8">
        <v>46</v>
      </c>
      <c r="I8" s="1">
        <v>0.91208791732787997</v>
      </c>
      <c r="J8">
        <v>86</v>
      </c>
      <c r="K8">
        <v>19</v>
      </c>
      <c r="L8">
        <v>21</v>
      </c>
      <c r="M8">
        <v>329</v>
      </c>
    </row>
    <row r="10" spans="1:13" x14ac:dyDescent="0.35">
      <c r="A10" t="s">
        <v>1</v>
      </c>
      <c r="B10" t="s">
        <v>9</v>
      </c>
      <c r="C10" t="s">
        <v>10</v>
      </c>
      <c r="D10" t="s">
        <v>11</v>
      </c>
      <c r="H10" t="s">
        <v>1</v>
      </c>
      <c r="I10" t="s">
        <v>9</v>
      </c>
      <c r="J10" t="s">
        <v>10</v>
      </c>
      <c r="K10" t="s">
        <v>11</v>
      </c>
    </row>
    <row r="11" spans="1:13" x14ac:dyDescent="0.35">
      <c r="A11">
        <v>42</v>
      </c>
      <c r="B11" t="s">
        <v>12</v>
      </c>
      <c r="C11">
        <v>0.876</v>
      </c>
      <c r="D11">
        <v>0.96299999999999997</v>
      </c>
      <c r="H11">
        <v>42</v>
      </c>
      <c r="I11" t="s">
        <v>12</v>
      </c>
      <c r="J11">
        <v>0.85899999999999999</v>
      </c>
      <c r="K11">
        <v>0.91400000000000003</v>
      </c>
    </row>
    <row r="12" spans="1:13" x14ac:dyDescent="0.35">
      <c r="B12" t="s">
        <v>3</v>
      </c>
      <c r="C12">
        <v>0.876</v>
      </c>
      <c r="D12">
        <v>0.96299999999999997</v>
      </c>
      <c r="I12" t="s">
        <v>3</v>
      </c>
      <c r="J12">
        <v>0.69499999999999995</v>
      </c>
      <c r="K12">
        <v>0.96599999999999997</v>
      </c>
    </row>
    <row r="13" spans="1:13" x14ac:dyDescent="0.35">
      <c r="B13" t="s">
        <v>4</v>
      </c>
      <c r="C13" s="1">
        <v>0.87619047619047596</v>
      </c>
      <c r="D13" s="1">
        <v>0.96285714285714197</v>
      </c>
      <c r="I13" t="s">
        <v>4</v>
      </c>
      <c r="J13" s="1">
        <v>0.76842105263157801</v>
      </c>
      <c r="K13" s="1">
        <v>0.938888888888888</v>
      </c>
    </row>
    <row r="15" spans="1:13" x14ac:dyDescent="0.35">
      <c r="A15">
        <v>43</v>
      </c>
      <c r="B15" t="s">
        <v>12</v>
      </c>
      <c r="C15">
        <v>0.84199999999999997</v>
      </c>
      <c r="D15">
        <v>0.99399999999999999</v>
      </c>
      <c r="H15">
        <v>43</v>
      </c>
      <c r="I15" t="s">
        <v>12</v>
      </c>
      <c r="J15">
        <v>0.84899999999999998</v>
      </c>
      <c r="K15">
        <v>0.96299999999999997</v>
      </c>
    </row>
    <row r="16" spans="1:13" x14ac:dyDescent="0.35">
      <c r="B16" t="s">
        <v>3</v>
      </c>
      <c r="C16">
        <v>0.98099999999999998</v>
      </c>
      <c r="D16">
        <v>0.94599999999999995</v>
      </c>
      <c r="I16" t="s">
        <v>3</v>
      </c>
      <c r="J16">
        <v>0.874</v>
      </c>
      <c r="K16">
        <v>0.95499999999999996</v>
      </c>
    </row>
    <row r="17" spans="1:11" x14ac:dyDescent="0.35">
      <c r="B17" t="s">
        <v>4</v>
      </c>
      <c r="C17" s="1">
        <v>0.905829596412556</v>
      </c>
      <c r="D17" s="1">
        <v>0.96943231441047995</v>
      </c>
      <c r="I17" t="s">
        <v>4</v>
      </c>
      <c r="J17" s="1">
        <v>0.86124401913875603</v>
      </c>
      <c r="K17" s="1">
        <v>0.95863052781740299</v>
      </c>
    </row>
    <row r="19" spans="1:11" x14ac:dyDescent="0.35">
      <c r="A19">
        <v>44</v>
      </c>
      <c r="B19" t="s">
        <v>12</v>
      </c>
      <c r="C19">
        <v>0.88800000000000001</v>
      </c>
      <c r="D19">
        <v>0.97799999999999998</v>
      </c>
      <c r="H19">
        <v>44</v>
      </c>
      <c r="I19" t="s">
        <v>12</v>
      </c>
      <c r="J19">
        <v>0.84699999999999998</v>
      </c>
      <c r="K19">
        <v>0.96599999999999997</v>
      </c>
    </row>
    <row r="20" spans="1:11" x14ac:dyDescent="0.35">
      <c r="B20" t="s">
        <v>3</v>
      </c>
      <c r="C20">
        <v>0.91600000000000004</v>
      </c>
      <c r="D20">
        <v>0.96899999999999997</v>
      </c>
      <c r="I20" t="s">
        <v>3</v>
      </c>
      <c r="J20">
        <v>0.874</v>
      </c>
      <c r="K20">
        <v>0.95799999999999996</v>
      </c>
    </row>
    <row r="21" spans="1:11" x14ac:dyDescent="0.35">
      <c r="B21" t="s">
        <v>4</v>
      </c>
      <c r="C21" s="1">
        <v>0.90155440414507704</v>
      </c>
      <c r="D21" s="1">
        <v>0.97350069735006906</v>
      </c>
      <c r="I21" t="s">
        <v>4</v>
      </c>
      <c r="J21" s="1">
        <v>0.86010362694300502</v>
      </c>
      <c r="K21" s="1">
        <v>0.96234309623430903</v>
      </c>
    </row>
    <row r="23" spans="1:11" x14ac:dyDescent="0.35">
      <c r="A23">
        <v>45</v>
      </c>
      <c r="B23" t="s">
        <v>12</v>
      </c>
      <c r="C23">
        <v>0.88700000000000001</v>
      </c>
      <c r="D23">
        <v>0.95099999999999996</v>
      </c>
      <c r="H23">
        <v>45</v>
      </c>
      <c r="I23" t="s">
        <v>12</v>
      </c>
      <c r="J23">
        <v>0.84699999999999998</v>
      </c>
      <c r="K23">
        <v>0.92200000000000004</v>
      </c>
    </row>
    <row r="24" spans="1:11" x14ac:dyDescent="0.35">
      <c r="B24" t="s">
        <v>3</v>
      </c>
      <c r="C24">
        <v>0.84699999999999998</v>
      </c>
      <c r="D24">
        <v>0.96499999999999997</v>
      </c>
      <c r="I24" t="s">
        <v>3</v>
      </c>
      <c r="J24">
        <v>0.748</v>
      </c>
      <c r="K24">
        <v>0.95599999999999996</v>
      </c>
    </row>
    <row r="25" spans="1:11" x14ac:dyDescent="0.35">
      <c r="B25" t="s">
        <v>4</v>
      </c>
      <c r="C25" s="1">
        <v>0.86635944700460799</v>
      </c>
      <c r="D25" s="1">
        <v>0.95815295815295798</v>
      </c>
      <c r="I25" t="s">
        <v>4</v>
      </c>
      <c r="J25" s="1">
        <v>0.794258373205741</v>
      </c>
      <c r="K25" s="1">
        <v>0.93865905848787401</v>
      </c>
    </row>
    <row r="27" spans="1:11" x14ac:dyDescent="0.35">
      <c r="A27">
        <v>46</v>
      </c>
      <c r="B27" t="s">
        <v>12</v>
      </c>
      <c r="C27">
        <v>0.97</v>
      </c>
      <c r="D27">
        <v>0.97699999999999998</v>
      </c>
      <c r="H27">
        <v>46</v>
      </c>
      <c r="I27" t="s">
        <v>12</v>
      </c>
      <c r="J27">
        <v>0.80400000000000005</v>
      </c>
      <c r="K27">
        <v>0.94499999999999995</v>
      </c>
    </row>
    <row r="28" spans="1:11" x14ac:dyDescent="0.35">
      <c r="B28" t="s">
        <v>3</v>
      </c>
      <c r="C28">
        <v>0.92400000000000004</v>
      </c>
      <c r="D28">
        <v>0.99099999999999999</v>
      </c>
      <c r="I28" t="s">
        <v>3</v>
      </c>
      <c r="J28">
        <v>0.81899999999999995</v>
      </c>
      <c r="K28">
        <v>0.94</v>
      </c>
    </row>
    <row r="29" spans="1:11" x14ac:dyDescent="0.35">
      <c r="B29" t="s">
        <v>4</v>
      </c>
      <c r="C29" s="1">
        <v>0.94634146341463399</v>
      </c>
      <c r="D29" s="1">
        <v>0.98439716312056702</v>
      </c>
      <c r="I29" t="s">
        <v>4</v>
      </c>
      <c r="J29" s="1">
        <v>0.81132075471698095</v>
      </c>
      <c r="K29" s="1">
        <v>0.94269340974212001</v>
      </c>
    </row>
    <row r="30" spans="1:11" x14ac:dyDescent="0.35">
      <c r="C30" s="1"/>
      <c r="D30" s="1"/>
      <c r="J30" s="1"/>
      <c r="K30" s="1"/>
    </row>
    <row r="31" spans="1:11" x14ac:dyDescent="0.35">
      <c r="B31" t="s">
        <v>10</v>
      </c>
      <c r="C31" s="1" t="s">
        <v>11</v>
      </c>
      <c r="D31" s="1"/>
      <c r="J31" s="1"/>
      <c r="K31" s="1"/>
    </row>
    <row r="32" spans="1:11" x14ac:dyDescent="0.35">
      <c r="A32" t="s">
        <v>15</v>
      </c>
      <c r="C32" s="1"/>
      <c r="D32" s="1"/>
      <c r="J32" s="1"/>
      <c r="K32" s="1"/>
    </row>
    <row r="33" spans="1:11" x14ac:dyDescent="0.35">
      <c r="A33" t="s">
        <v>16</v>
      </c>
      <c r="C33" s="1"/>
      <c r="D33" s="1"/>
      <c r="J33" s="1"/>
      <c r="K33" s="1"/>
    </row>
    <row r="34" spans="1:11" x14ac:dyDescent="0.35">
      <c r="A34" t="s">
        <v>17</v>
      </c>
      <c r="C34" s="1"/>
      <c r="D34" s="1"/>
      <c r="J34" s="1"/>
      <c r="K34" s="1"/>
    </row>
    <row r="36" spans="1:11" x14ac:dyDescent="0.35">
      <c r="A36" t="s">
        <v>14</v>
      </c>
      <c r="H36" t="s">
        <v>14</v>
      </c>
    </row>
    <row r="37" spans="1:11" x14ac:dyDescent="0.35">
      <c r="A37" t="s">
        <v>9</v>
      </c>
      <c r="B37" t="s">
        <v>10</v>
      </c>
      <c r="C37" t="s">
        <v>11</v>
      </c>
      <c r="H37" t="s">
        <v>9</v>
      </c>
      <c r="I37" t="s">
        <v>10</v>
      </c>
      <c r="J37" t="s">
        <v>11</v>
      </c>
    </row>
    <row r="38" spans="1:11" x14ac:dyDescent="0.35">
      <c r="A38" t="s">
        <v>2</v>
      </c>
      <c r="H38" t="s">
        <v>2</v>
      </c>
    </row>
    <row r="39" spans="1:11" x14ac:dyDescent="0.35">
      <c r="A39" t="s">
        <v>12</v>
      </c>
      <c r="H39" t="s">
        <v>12</v>
      </c>
    </row>
    <row r="40" spans="1:11" x14ac:dyDescent="0.35">
      <c r="A40" t="s">
        <v>3</v>
      </c>
      <c r="H40" t="s">
        <v>3</v>
      </c>
    </row>
    <row r="41" spans="1:11" x14ac:dyDescent="0.35">
      <c r="A41" t="s">
        <v>4</v>
      </c>
      <c r="H4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B68E-BB08-4917-B829-8E5DE834DFE4}">
  <dimension ref="A1:R56"/>
  <sheetViews>
    <sheetView tabSelected="1" zoomScale="59" zoomScaleNormal="100" workbookViewId="0">
      <selection activeCell="T17" sqref="T17"/>
    </sheetView>
  </sheetViews>
  <sheetFormatPr defaultRowHeight="14.5" x14ac:dyDescent="0.35"/>
  <cols>
    <col min="4" max="4" width="12" customWidth="1"/>
    <col min="6" max="6" width="12.26953125" bestFit="1" customWidth="1"/>
    <col min="7" max="7" width="10.81640625" bestFit="1" customWidth="1"/>
    <col min="9" max="9" width="10.08984375" customWidth="1"/>
    <col min="12" max="12" width="10.54296875" customWidth="1"/>
    <col min="14" max="15" width="12.26953125" bestFit="1" customWidth="1"/>
    <col min="16" max="16" width="25.36328125" bestFit="1" customWidth="1"/>
    <col min="17" max="18" width="8.81640625" bestFit="1" customWidth="1"/>
  </cols>
  <sheetData>
    <row r="1" spans="1:18" x14ac:dyDescent="0.35">
      <c r="A1" s="6" t="s">
        <v>0</v>
      </c>
      <c r="I1" s="6" t="s">
        <v>13</v>
      </c>
      <c r="P1" s="6" t="s">
        <v>27</v>
      </c>
    </row>
    <row r="3" spans="1:18" x14ac:dyDescent="0.35">
      <c r="A3" s="6" t="s">
        <v>18</v>
      </c>
      <c r="I3" s="6" t="s">
        <v>18</v>
      </c>
      <c r="P3" s="6" t="s">
        <v>9</v>
      </c>
      <c r="Q3" s="6" t="s">
        <v>21</v>
      </c>
      <c r="R3" s="6" t="s">
        <v>22</v>
      </c>
    </row>
    <row r="4" spans="1:18" ht="29" x14ac:dyDescent="0.35">
      <c r="A4" s="3" t="s">
        <v>1</v>
      </c>
      <c r="B4" s="3" t="s">
        <v>2</v>
      </c>
      <c r="C4" s="3" t="s">
        <v>6</v>
      </c>
      <c r="D4" s="3" t="s">
        <v>8</v>
      </c>
      <c r="E4" s="3" t="s">
        <v>5</v>
      </c>
      <c r="F4" s="3" t="s">
        <v>7</v>
      </c>
      <c r="G4" s="3"/>
      <c r="I4" s="3" t="s">
        <v>1</v>
      </c>
      <c r="J4" s="3" t="s">
        <v>2</v>
      </c>
      <c r="K4" s="3" t="s">
        <v>6</v>
      </c>
      <c r="L4" s="3" t="s">
        <v>8</v>
      </c>
      <c r="M4" s="3" t="s">
        <v>5</v>
      </c>
      <c r="N4" s="3" t="s">
        <v>7</v>
      </c>
      <c r="P4" s="3" t="s">
        <v>23</v>
      </c>
      <c r="Q4">
        <f>AVERAGE(B5:B14)</f>
        <v>0.9577</v>
      </c>
      <c r="R4">
        <f>AVERAGE(J5:J14)</f>
        <v>0.88780000000000003</v>
      </c>
    </row>
    <row r="5" spans="1:18" x14ac:dyDescent="0.35">
      <c r="A5" s="2">
        <v>42</v>
      </c>
      <c r="B5" s="2">
        <v>0.94899999999999995</v>
      </c>
      <c r="C5" s="2">
        <v>87</v>
      </c>
      <c r="D5" s="2">
        <v>18</v>
      </c>
      <c r="E5" s="2">
        <v>5</v>
      </c>
      <c r="F5" s="2">
        <v>345</v>
      </c>
      <c r="G5" s="2"/>
      <c r="I5" s="2">
        <v>42</v>
      </c>
      <c r="J5" s="2">
        <v>0.88400000000000001</v>
      </c>
      <c r="K5" s="2">
        <v>82</v>
      </c>
      <c r="L5" s="2">
        <v>23</v>
      </c>
      <c r="M5" s="2">
        <v>30</v>
      </c>
      <c r="N5" s="2">
        <v>320</v>
      </c>
      <c r="P5" s="8" t="s">
        <v>24</v>
      </c>
      <c r="Q5">
        <f>STDEV(B5:B14)</f>
        <v>1.3342080464122205E-2</v>
      </c>
      <c r="R5">
        <f>STDEV(J5:J14)</f>
        <v>0.1110353297128642</v>
      </c>
    </row>
    <row r="6" spans="1:18" x14ac:dyDescent="0.35">
      <c r="A6" s="2">
        <v>43</v>
      </c>
      <c r="B6" s="2">
        <v>0.97599999999999998</v>
      </c>
      <c r="C6" s="2">
        <v>93</v>
      </c>
      <c r="D6" s="2">
        <v>10</v>
      </c>
      <c r="E6" s="2">
        <v>1</v>
      </c>
      <c r="F6" s="2">
        <v>351</v>
      </c>
      <c r="G6" s="2"/>
      <c r="I6" s="2">
        <v>43</v>
      </c>
      <c r="J6" s="2">
        <v>0.94099999999999995</v>
      </c>
      <c r="K6" s="2">
        <v>95</v>
      </c>
      <c r="L6" s="2">
        <v>8</v>
      </c>
      <c r="M6" s="2">
        <v>19</v>
      </c>
      <c r="N6" s="2">
        <v>333</v>
      </c>
      <c r="P6" s="8" t="s">
        <v>26</v>
      </c>
      <c r="Q6">
        <f>AVERAGE(C19,C23,C27,C31,C35,C39,C43,C47,C51,C55)</f>
        <v>0.86969999999999992</v>
      </c>
      <c r="R6">
        <f>AVERAGE(K19,K23,K27,K31,K35,K39,K43,K47,K51,K55)</f>
        <v>0.86699999999999999</v>
      </c>
    </row>
    <row r="7" spans="1:18" x14ac:dyDescent="0.35">
      <c r="A7" s="2">
        <v>44</v>
      </c>
      <c r="B7" s="2">
        <v>0.94099999999999995</v>
      </c>
      <c r="C7" s="2">
        <v>75</v>
      </c>
      <c r="D7" s="2">
        <v>20</v>
      </c>
      <c r="E7" s="2">
        <v>7</v>
      </c>
      <c r="F7" s="2">
        <v>353</v>
      </c>
      <c r="G7" s="2"/>
      <c r="I7" s="2">
        <v>44</v>
      </c>
      <c r="J7" s="2">
        <v>0.94499999999999995</v>
      </c>
      <c r="K7" s="2">
        <v>85</v>
      </c>
      <c r="L7" s="2">
        <v>10</v>
      </c>
      <c r="M7" s="2">
        <v>15</v>
      </c>
      <c r="N7" s="2">
        <v>345</v>
      </c>
      <c r="P7" s="8" t="s">
        <v>24</v>
      </c>
      <c r="Q7">
        <f>STDEV(C19,C23,C27,C31,C35,C39,C43,C47,C51,C55)</f>
        <v>5.7879280499252159E-2</v>
      </c>
      <c r="R7">
        <f>STDEV(K19,K23,K27,K31,K35,K39,K43,K47,K51,K55)</f>
        <v>6.2611678001968776E-2</v>
      </c>
    </row>
    <row r="8" spans="1:18" x14ac:dyDescent="0.35">
      <c r="A8" s="2">
        <v>45</v>
      </c>
      <c r="B8" s="2">
        <v>0.96499999999999997</v>
      </c>
      <c r="C8" s="2">
        <v>106</v>
      </c>
      <c r="D8" s="2">
        <v>5</v>
      </c>
      <c r="E8" s="2">
        <v>11</v>
      </c>
      <c r="F8" s="2">
        <v>333</v>
      </c>
      <c r="G8" s="2"/>
      <c r="I8" s="2">
        <v>45</v>
      </c>
      <c r="J8" s="2">
        <v>0.92700000000000005</v>
      </c>
      <c r="K8" s="2">
        <v>87</v>
      </c>
      <c r="L8" s="2">
        <v>24</v>
      </c>
      <c r="M8" s="2">
        <v>9</v>
      </c>
      <c r="N8" s="2">
        <v>335</v>
      </c>
      <c r="P8" s="8" t="s">
        <v>25</v>
      </c>
      <c r="Q8">
        <f>AVERAGE(D19,D23,D27,D31,D35,D39,D43,D47,D51,D55)</f>
        <v>0.98290000000000011</v>
      </c>
      <c r="R8">
        <f>AVERAGE(L19,L23,L27,L31,L35,L39,L43,L47,L51,L55,L55)</f>
        <v>0.90072727272727282</v>
      </c>
    </row>
    <row r="9" spans="1:18" x14ac:dyDescent="0.35">
      <c r="A9" s="2">
        <v>46</v>
      </c>
      <c r="B9" s="2">
        <v>0.93799999999999994</v>
      </c>
      <c r="C9" s="2">
        <v>86</v>
      </c>
      <c r="D9" s="2">
        <v>19</v>
      </c>
      <c r="E9" s="2">
        <v>9</v>
      </c>
      <c r="F9" s="2">
        <v>341</v>
      </c>
      <c r="G9" s="2"/>
      <c r="I9" s="2">
        <v>46</v>
      </c>
      <c r="J9" s="2">
        <v>0.90800000000000003</v>
      </c>
      <c r="K9" s="2">
        <v>85</v>
      </c>
      <c r="L9" s="2">
        <v>20</v>
      </c>
      <c r="M9" s="2">
        <v>22</v>
      </c>
      <c r="N9" s="2">
        <v>328</v>
      </c>
      <c r="P9" s="8" t="s">
        <v>24</v>
      </c>
      <c r="Q9">
        <f>STDEV(D19,D23,D27,D31,D35,D39,D43,D47,D51,D55)</f>
        <v>1.3303717107969831E-2</v>
      </c>
      <c r="R9">
        <f>STDEV(L19,L23,L27,L31,L35,L39,L43,L47,L51,L55,L55)</f>
        <v>0.14247181539454698</v>
      </c>
    </row>
    <row r="10" spans="1:18" x14ac:dyDescent="0.35">
      <c r="A10" s="2">
        <v>47</v>
      </c>
      <c r="B10" s="2">
        <v>0.96299999999999997</v>
      </c>
      <c r="C10" s="2">
        <v>85</v>
      </c>
      <c r="D10" s="2">
        <v>13</v>
      </c>
      <c r="E10" s="2">
        <v>4</v>
      </c>
      <c r="F10" s="2">
        <v>353</v>
      </c>
      <c r="G10" s="2"/>
      <c r="I10" s="2">
        <v>47</v>
      </c>
      <c r="J10" s="2">
        <v>0.92700000000000005</v>
      </c>
      <c r="K10" s="2">
        <v>89</v>
      </c>
      <c r="L10" s="2">
        <v>9</v>
      </c>
      <c r="M10" s="2">
        <v>24</v>
      </c>
      <c r="N10" s="2">
        <v>333</v>
      </c>
    </row>
    <row r="11" spans="1:18" x14ac:dyDescent="0.35">
      <c r="A11" s="2">
        <v>48</v>
      </c>
      <c r="B11" s="2">
        <v>0.97099999999999997</v>
      </c>
      <c r="C11" s="2">
        <v>87</v>
      </c>
      <c r="D11" s="2">
        <v>9</v>
      </c>
      <c r="E11" s="2">
        <v>4</v>
      </c>
      <c r="F11" s="2">
        <v>355</v>
      </c>
      <c r="G11" s="2"/>
      <c r="I11" s="2">
        <v>48</v>
      </c>
      <c r="J11" s="2">
        <v>0.57599999999999996</v>
      </c>
      <c r="K11" s="2">
        <v>91</v>
      </c>
      <c r="L11" s="2">
        <v>5</v>
      </c>
      <c r="M11" s="2">
        <v>188</v>
      </c>
      <c r="N11" s="2">
        <v>171</v>
      </c>
    </row>
    <row r="12" spans="1:18" x14ac:dyDescent="0.35">
      <c r="A12" s="2">
        <v>49</v>
      </c>
      <c r="B12" s="2">
        <v>0.95399999999999996</v>
      </c>
      <c r="C12" s="2">
        <v>79</v>
      </c>
      <c r="D12" s="2">
        <v>20</v>
      </c>
      <c r="E12" s="2">
        <v>1</v>
      </c>
      <c r="F12" s="2">
        <v>355</v>
      </c>
      <c r="G12" s="2"/>
      <c r="I12" s="2">
        <v>49</v>
      </c>
      <c r="J12" s="2">
        <v>0.93200000000000005</v>
      </c>
      <c r="K12" s="2">
        <v>86</v>
      </c>
      <c r="L12" s="2">
        <v>13</v>
      </c>
      <c r="M12" s="2">
        <v>18</v>
      </c>
      <c r="N12" s="2">
        <v>338</v>
      </c>
    </row>
    <row r="13" spans="1:18" x14ac:dyDescent="0.35">
      <c r="A13" s="2">
        <v>50</v>
      </c>
      <c r="B13" s="2">
        <v>0.94899999999999995</v>
      </c>
      <c r="C13" s="2">
        <v>105</v>
      </c>
      <c r="D13" s="2">
        <v>8</v>
      </c>
      <c r="E13" s="2">
        <v>15</v>
      </c>
      <c r="F13" s="2">
        <v>327</v>
      </c>
      <c r="G13" s="2"/>
      <c r="I13" s="2">
        <v>50</v>
      </c>
      <c r="J13" s="2">
        <v>0.90800000000000003</v>
      </c>
      <c r="K13" s="2">
        <v>105</v>
      </c>
      <c r="L13" s="2">
        <v>8</v>
      </c>
      <c r="M13" s="2">
        <v>34</v>
      </c>
      <c r="N13" s="2">
        <v>308</v>
      </c>
    </row>
    <row r="14" spans="1:18" x14ac:dyDescent="0.35">
      <c r="A14" s="2">
        <v>51</v>
      </c>
      <c r="B14" s="2">
        <v>0.97099999999999997</v>
      </c>
      <c r="C14" s="2">
        <v>92</v>
      </c>
      <c r="D14" s="2">
        <v>10</v>
      </c>
      <c r="E14" s="2">
        <v>3</v>
      </c>
      <c r="F14" s="2">
        <v>350</v>
      </c>
      <c r="G14" s="2"/>
      <c r="I14" s="2">
        <v>51</v>
      </c>
      <c r="J14" s="2">
        <v>0.93</v>
      </c>
      <c r="K14" s="2">
        <v>84</v>
      </c>
      <c r="L14" s="2">
        <v>18</v>
      </c>
      <c r="M14" s="2">
        <v>14</v>
      </c>
      <c r="N14" s="2">
        <v>339</v>
      </c>
    </row>
    <row r="16" spans="1:18" x14ac:dyDescent="0.35">
      <c r="A16" s="6" t="s">
        <v>19</v>
      </c>
      <c r="I16" s="6" t="s">
        <v>20</v>
      </c>
    </row>
    <row r="17" spans="1:16" ht="21.5" customHeight="1" x14ac:dyDescent="0.35">
      <c r="A17" s="3" t="s">
        <v>1</v>
      </c>
      <c r="B17" s="4" t="s">
        <v>9</v>
      </c>
      <c r="C17" s="3" t="s">
        <v>10</v>
      </c>
      <c r="D17" s="3" t="s">
        <v>11</v>
      </c>
      <c r="G17" s="6"/>
      <c r="I17" s="3" t="s">
        <v>1</v>
      </c>
      <c r="J17" s="4" t="s">
        <v>9</v>
      </c>
      <c r="K17" s="3" t="s">
        <v>10</v>
      </c>
      <c r="L17" s="3" t="s">
        <v>11</v>
      </c>
      <c r="O17" s="6"/>
      <c r="P17" s="7"/>
    </row>
    <row r="18" spans="1:16" x14ac:dyDescent="0.35">
      <c r="A18" s="2">
        <v>42</v>
      </c>
      <c r="B18" s="5" t="s">
        <v>12</v>
      </c>
      <c r="C18" s="2">
        <v>0.94599999999999995</v>
      </c>
      <c r="D18" s="2">
        <v>0.95</v>
      </c>
      <c r="F18" s="6"/>
      <c r="G18" s="1"/>
      <c r="I18" s="2">
        <v>42</v>
      </c>
      <c r="J18" s="5" t="s">
        <v>12</v>
      </c>
      <c r="K18" s="2">
        <v>0.73199999999999998</v>
      </c>
      <c r="L18" s="2">
        <v>0.93300000000000005</v>
      </c>
      <c r="N18" s="6"/>
      <c r="O18" s="1"/>
      <c r="P18" s="1"/>
    </row>
    <row r="19" spans="1:16" x14ac:dyDescent="0.35">
      <c r="A19" s="2"/>
      <c r="B19" s="5" t="s">
        <v>3</v>
      </c>
      <c r="C19" s="2">
        <v>0.82899999999999996</v>
      </c>
      <c r="D19" s="2">
        <v>0.98599999999999999</v>
      </c>
      <c r="F19" s="6"/>
      <c r="G19" s="1"/>
      <c r="I19" s="2"/>
      <c r="J19" s="5" t="s">
        <v>3</v>
      </c>
      <c r="K19" s="2">
        <v>0.78100000000000003</v>
      </c>
      <c r="L19" s="2">
        <v>0.91400000000000003</v>
      </c>
      <c r="N19" s="6"/>
      <c r="O19" s="1"/>
      <c r="P19" s="1"/>
    </row>
    <row r="20" spans="1:16" x14ac:dyDescent="0.35">
      <c r="A20" s="2"/>
      <c r="B20" s="5" t="s">
        <v>4</v>
      </c>
      <c r="C20" s="2">
        <v>0.88300000000000001</v>
      </c>
      <c r="D20" s="2">
        <v>0.96799999999999997</v>
      </c>
      <c r="F20" s="6"/>
      <c r="G20" s="1"/>
      <c r="I20" s="2"/>
      <c r="J20" s="5" t="s">
        <v>4</v>
      </c>
      <c r="K20" s="2">
        <v>0.75600000000000001</v>
      </c>
      <c r="L20" s="2">
        <v>0.92400000000000004</v>
      </c>
      <c r="N20" s="6"/>
      <c r="O20" s="1"/>
      <c r="P20" s="1"/>
    </row>
    <row r="21" spans="1:16" x14ac:dyDescent="0.35">
      <c r="A21" s="2"/>
      <c r="B21" s="5"/>
      <c r="C21" s="2"/>
      <c r="D21" s="2"/>
      <c r="I21" s="2"/>
      <c r="J21" s="5"/>
      <c r="K21" s="2"/>
      <c r="L21" s="2"/>
    </row>
    <row r="22" spans="1:16" x14ac:dyDescent="0.35">
      <c r="A22" s="2">
        <v>43</v>
      </c>
      <c r="B22" s="5" t="s">
        <v>12</v>
      </c>
      <c r="C22" s="2">
        <v>0.98899999999999999</v>
      </c>
      <c r="D22" s="2">
        <v>0.97199999999999998</v>
      </c>
      <c r="I22" s="2">
        <v>43</v>
      </c>
      <c r="J22" s="5" t="s">
        <v>12</v>
      </c>
      <c r="K22" s="2">
        <v>0.83299999999999996</v>
      </c>
      <c r="L22" s="2">
        <v>0.97699999999999998</v>
      </c>
    </row>
    <row r="23" spans="1:16" x14ac:dyDescent="0.35">
      <c r="A23" s="2"/>
      <c r="B23" s="5" t="s">
        <v>3</v>
      </c>
      <c r="C23" s="2">
        <v>0.90300000000000002</v>
      </c>
      <c r="D23" s="2">
        <v>0.997</v>
      </c>
      <c r="I23" s="2"/>
      <c r="J23" s="5" t="s">
        <v>3</v>
      </c>
      <c r="K23" s="2">
        <v>0.92200000000000004</v>
      </c>
      <c r="L23" s="2">
        <v>0.94599999999999995</v>
      </c>
    </row>
    <row r="24" spans="1:16" x14ac:dyDescent="0.35">
      <c r="A24" s="2"/>
      <c r="B24" s="5" t="s">
        <v>4</v>
      </c>
      <c r="C24" s="2">
        <v>0.94399999999999995</v>
      </c>
      <c r="D24" s="2">
        <v>0.98499999999999999</v>
      </c>
      <c r="I24" s="2"/>
      <c r="J24" s="5" t="s">
        <v>4</v>
      </c>
      <c r="K24" s="2">
        <v>0.876</v>
      </c>
      <c r="L24" s="2">
        <v>0.96099999999999997</v>
      </c>
    </row>
    <row r="25" spans="1:16" x14ac:dyDescent="0.35">
      <c r="A25" s="2"/>
      <c r="B25" s="5"/>
      <c r="C25" s="2"/>
      <c r="D25" s="2"/>
      <c r="I25" s="2"/>
      <c r="J25" s="5"/>
      <c r="K25" s="2"/>
      <c r="L25" s="2"/>
    </row>
    <row r="26" spans="1:16" x14ac:dyDescent="0.35">
      <c r="A26" s="2">
        <v>44</v>
      </c>
      <c r="B26" s="5" t="s">
        <v>12</v>
      </c>
      <c r="C26" s="2">
        <v>0.91500000000000004</v>
      </c>
      <c r="D26" s="2">
        <v>0.94599999999999995</v>
      </c>
      <c r="I26" s="2">
        <v>44</v>
      </c>
      <c r="J26" s="5" t="s">
        <v>12</v>
      </c>
      <c r="K26" s="2">
        <v>0.85</v>
      </c>
      <c r="L26" s="2">
        <v>0.97199999999999998</v>
      </c>
    </row>
    <row r="27" spans="1:16" x14ac:dyDescent="0.35">
      <c r="A27" s="2"/>
      <c r="B27" s="5" t="s">
        <v>3</v>
      </c>
      <c r="C27" s="2">
        <v>0.78900000000000003</v>
      </c>
      <c r="D27" s="2">
        <v>0.98099999999999998</v>
      </c>
      <c r="I27" s="2"/>
      <c r="J27" s="5" t="s">
        <v>3</v>
      </c>
      <c r="K27" s="2">
        <v>0.89500000000000002</v>
      </c>
      <c r="L27" s="2">
        <v>0.95799999999999996</v>
      </c>
    </row>
    <row r="28" spans="1:16" x14ac:dyDescent="0.35">
      <c r="A28" s="2"/>
      <c r="B28" s="5" t="s">
        <v>4</v>
      </c>
      <c r="C28" s="2">
        <v>0.84699999999999998</v>
      </c>
      <c r="D28" s="2">
        <v>0.96299999999999997</v>
      </c>
      <c r="I28" s="2"/>
      <c r="J28" s="5" t="s">
        <v>4</v>
      </c>
      <c r="K28" s="2">
        <v>0.872</v>
      </c>
      <c r="L28" s="2">
        <v>0.96499999999999997</v>
      </c>
    </row>
    <row r="29" spans="1:16" x14ac:dyDescent="0.35">
      <c r="A29" s="2"/>
      <c r="B29" s="5"/>
      <c r="C29" s="2"/>
      <c r="D29" s="2"/>
      <c r="I29" s="2"/>
      <c r="J29" s="5"/>
      <c r="K29" s="2"/>
      <c r="L29" s="2"/>
    </row>
    <row r="30" spans="1:16" x14ac:dyDescent="0.35">
      <c r="A30" s="2">
        <v>45</v>
      </c>
      <c r="B30" s="5" t="s">
        <v>12</v>
      </c>
      <c r="C30" s="2">
        <v>0.90600000000000003</v>
      </c>
      <c r="D30" s="2">
        <v>0.98499999999999999</v>
      </c>
      <c r="I30" s="2">
        <v>45</v>
      </c>
      <c r="J30" s="5" t="s">
        <v>12</v>
      </c>
      <c r="K30" s="2">
        <v>0.90600000000000003</v>
      </c>
      <c r="L30" s="2">
        <v>0.93300000000000005</v>
      </c>
    </row>
    <row r="31" spans="1:16" x14ac:dyDescent="0.35">
      <c r="A31" s="2"/>
      <c r="B31" s="5" t="s">
        <v>3</v>
      </c>
      <c r="C31" s="2">
        <v>0.95499999999999996</v>
      </c>
      <c r="D31" s="2">
        <v>0.96799999999999997</v>
      </c>
      <c r="I31" s="2"/>
      <c r="J31" s="5" t="s">
        <v>3</v>
      </c>
      <c r="K31" s="2">
        <v>0.78400000000000003</v>
      </c>
      <c r="L31" s="2">
        <v>0.97399999999999998</v>
      </c>
    </row>
    <row r="32" spans="1:16" x14ac:dyDescent="0.35">
      <c r="A32" s="2"/>
      <c r="B32" s="5" t="s">
        <v>4</v>
      </c>
      <c r="C32" s="2">
        <v>0.93</v>
      </c>
      <c r="D32" s="2">
        <v>0.97699999999999998</v>
      </c>
      <c r="I32" s="2"/>
      <c r="J32" s="5" t="s">
        <v>4</v>
      </c>
      <c r="K32" s="2">
        <v>0.84099999999999997</v>
      </c>
      <c r="L32" s="2">
        <v>0.95299999999999996</v>
      </c>
    </row>
    <row r="33" spans="1:12" x14ac:dyDescent="0.35">
      <c r="A33" s="2"/>
      <c r="B33" s="5"/>
      <c r="C33" s="2"/>
      <c r="D33" s="2"/>
      <c r="I33" s="2"/>
      <c r="J33" s="5"/>
      <c r="K33" s="2"/>
      <c r="L33" s="2"/>
    </row>
    <row r="34" spans="1:12" x14ac:dyDescent="0.35">
      <c r="A34" s="2">
        <v>46</v>
      </c>
      <c r="B34" s="5" t="s">
        <v>12</v>
      </c>
      <c r="C34" s="2">
        <v>0.90500000000000003</v>
      </c>
      <c r="D34" s="2">
        <v>0.94699999999999995</v>
      </c>
      <c r="I34" s="2">
        <v>46</v>
      </c>
      <c r="J34" s="5" t="s">
        <v>12</v>
      </c>
      <c r="K34" s="2">
        <v>0.79400000000000004</v>
      </c>
      <c r="L34" s="2">
        <v>0.94299999999999995</v>
      </c>
    </row>
    <row r="35" spans="1:12" x14ac:dyDescent="0.35">
      <c r="A35" s="2"/>
      <c r="B35" s="5" t="s">
        <v>3</v>
      </c>
      <c r="C35" s="2">
        <v>0.81899999999999995</v>
      </c>
      <c r="D35" s="2">
        <v>0.97399999999999998</v>
      </c>
      <c r="I35" s="2"/>
      <c r="J35" s="5" t="s">
        <v>3</v>
      </c>
      <c r="K35" s="2">
        <v>0.81</v>
      </c>
      <c r="L35" s="2">
        <v>0.93700000000000006</v>
      </c>
    </row>
    <row r="36" spans="1:12" x14ac:dyDescent="0.35">
      <c r="A36" s="2"/>
      <c r="B36" s="5" t="s">
        <v>4</v>
      </c>
      <c r="C36" s="2">
        <v>0.86</v>
      </c>
      <c r="D36" s="2">
        <v>0.96099999999999997</v>
      </c>
      <c r="I36" s="2"/>
      <c r="J36" s="5" t="s">
        <v>4</v>
      </c>
      <c r="K36" s="2">
        <v>0.80200000000000005</v>
      </c>
      <c r="L36" s="2">
        <v>0.94</v>
      </c>
    </row>
    <row r="37" spans="1:12" x14ac:dyDescent="0.35">
      <c r="A37" s="2"/>
      <c r="B37" s="5"/>
      <c r="C37" s="2"/>
      <c r="D37" s="2"/>
      <c r="I37" s="2"/>
      <c r="J37" s="5"/>
      <c r="K37" s="2"/>
      <c r="L37" s="2"/>
    </row>
    <row r="38" spans="1:12" x14ac:dyDescent="0.35">
      <c r="A38" s="2">
        <v>47</v>
      </c>
      <c r="B38" s="5" t="s">
        <v>12</v>
      </c>
      <c r="C38" s="2">
        <v>0.95499999999999996</v>
      </c>
      <c r="D38" s="2">
        <v>0.96399999999999997</v>
      </c>
      <c r="I38" s="2">
        <v>47</v>
      </c>
      <c r="J38" s="5" t="s">
        <v>12</v>
      </c>
      <c r="K38" s="2">
        <v>0.78800000000000003</v>
      </c>
      <c r="L38" s="2">
        <v>0.97399999999999998</v>
      </c>
    </row>
    <row r="39" spans="1:12" x14ac:dyDescent="0.35">
      <c r="A39" s="2"/>
      <c r="B39" s="5" t="s">
        <v>3</v>
      </c>
      <c r="C39" s="2">
        <v>0.86699999999999999</v>
      </c>
      <c r="D39" s="2">
        <v>0.98899999999999999</v>
      </c>
      <c r="I39" s="2"/>
      <c r="J39" s="5" t="s">
        <v>3</v>
      </c>
      <c r="K39" s="2">
        <v>0.90800000000000003</v>
      </c>
      <c r="L39" s="2">
        <v>0.93300000000000005</v>
      </c>
    </row>
    <row r="40" spans="1:12" x14ac:dyDescent="0.35">
      <c r="A40" s="2"/>
      <c r="B40" s="5" t="s">
        <v>4</v>
      </c>
      <c r="C40" s="2">
        <v>0.90900000000000003</v>
      </c>
      <c r="D40" s="2">
        <v>0.97599999999999998</v>
      </c>
      <c r="I40" s="2"/>
      <c r="J40" s="5" t="s">
        <v>4</v>
      </c>
      <c r="K40" s="2">
        <v>0.84399999999999997</v>
      </c>
      <c r="L40" s="2">
        <v>0.95299999999999996</v>
      </c>
    </row>
    <row r="41" spans="1:12" x14ac:dyDescent="0.35">
      <c r="A41" s="2"/>
      <c r="B41" s="5"/>
      <c r="C41" s="2"/>
      <c r="D41" s="2"/>
      <c r="I41" s="2"/>
      <c r="J41" s="5"/>
      <c r="K41" s="2"/>
      <c r="L41" s="2"/>
    </row>
    <row r="42" spans="1:12" x14ac:dyDescent="0.35">
      <c r="A42" s="2">
        <v>48</v>
      </c>
      <c r="B42" s="5" t="s">
        <v>12</v>
      </c>
      <c r="C42" s="2">
        <v>0.95599999999999996</v>
      </c>
      <c r="D42" s="2">
        <v>0.97499999999999998</v>
      </c>
      <c r="I42" s="2">
        <v>48</v>
      </c>
      <c r="J42" s="5" t="s">
        <v>12</v>
      </c>
      <c r="K42" s="2">
        <v>0.32600000000000001</v>
      </c>
      <c r="L42" s="2">
        <v>0.97199999999999998</v>
      </c>
    </row>
    <row r="43" spans="1:12" x14ac:dyDescent="0.35">
      <c r="A43" s="2"/>
      <c r="B43" s="5" t="s">
        <v>3</v>
      </c>
      <c r="C43" s="2">
        <v>0.90600000000000003</v>
      </c>
      <c r="D43" s="2">
        <v>0.98899999999999999</v>
      </c>
      <c r="I43" s="2"/>
      <c r="J43" s="5" t="s">
        <v>3</v>
      </c>
      <c r="K43" s="2">
        <v>0.94799999999999995</v>
      </c>
      <c r="L43" s="2">
        <v>0.47599999999999998</v>
      </c>
    </row>
    <row r="44" spans="1:12" x14ac:dyDescent="0.35">
      <c r="A44" s="2"/>
      <c r="B44" s="5" t="s">
        <v>4</v>
      </c>
      <c r="C44" s="2">
        <v>0.93</v>
      </c>
      <c r="D44" s="2">
        <v>0.98199999999999998</v>
      </c>
      <c r="I44" s="2"/>
      <c r="J44" s="5" t="s">
        <v>4</v>
      </c>
      <c r="K44" s="2">
        <v>0.48499999999999999</v>
      </c>
      <c r="L44" s="2">
        <v>0.63900000000000001</v>
      </c>
    </row>
    <row r="45" spans="1:12" x14ac:dyDescent="0.35">
      <c r="A45" s="2"/>
      <c r="B45" s="5"/>
      <c r="C45" s="2"/>
      <c r="D45" s="2"/>
      <c r="I45" s="2"/>
      <c r="J45" s="5"/>
      <c r="K45" s="2"/>
      <c r="L45" s="2"/>
    </row>
    <row r="46" spans="1:12" x14ac:dyDescent="0.35">
      <c r="A46" s="2">
        <v>49</v>
      </c>
      <c r="B46" s="5" t="s">
        <v>12</v>
      </c>
      <c r="C46" s="2">
        <v>0.98799999999999999</v>
      </c>
      <c r="D46" s="2">
        <v>0.94699999999999995</v>
      </c>
      <c r="I46" s="2">
        <v>49</v>
      </c>
      <c r="J46" s="5" t="s">
        <v>12</v>
      </c>
      <c r="K46" s="2">
        <v>0.82699999999999996</v>
      </c>
      <c r="L46" s="2">
        <v>0.96299999999999997</v>
      </c>
    </row>
    <row r="47" spans="1:12" x14ac:dyDescent="0.35">
      <c r="A47" s="2"/>
      <c r="B47" s="5" t="s">
        <v>3</v>
      </c>
      <c r="C47" s="2">
        <v>0.79800000000000004</v>
      </c>
      <c r="D47" s="2">
        <v>0.997</v>
      </c>
      <c r="I47" s="2"/>
      <c r="J47" s="5" t="s">
        <v>3</v>
      </c>
      <c r="K47" s="2">
        <v>0.86899999999999999</v>
      </c>
      <c r="L47" s="2">
        <v>0.94899999999999995</v>
      </c>
    </row>
    <row r="48" spans="1:12" x14ac:dyDescent="0.35">
      <c r="A48" s="2"/>
      <c r="B48" s="5" t="s">
        <v>4</v>
      </c>
      <c r="C48" s="2">
        <v>0.88300000000000001</v>
      </c>
      <c r="D48" s="2">
        <v>0.97099999999999997</v>
      </c>
      <c r="I48" s="2"/>
      <c r="J48" s="5" t="s">
        <v>4</v>
      </c>
      <c r="K48" s="2">
        <v>0.84699999999999998</v>
      </c>
      <c r="L48" s="2">
        <v>0.95599999999999996</v>
      </c>
    </row>
    <row r="49" spans="1:12" x14ac:dyDescent="0.35">
      <c r="A49" s="2"/>
      <c r="B49" s="5"/>
      <c r="C49" s="2"/>
      <c r="D49" s="2"/>
      <c r="I49" s="2"/>
      <c r="J49" s="5"/>
      <c r="K49" s="2"/>
      <c r="L49" s="2"/>
    </row>
    <row r="50" spans="1:12" x14ac:dyDescent="0.35">
      <c r="A50" s="2">
        <v>50</v>
      </c>
      <c r="B50" s="5" t="s">
        <v>12</v>
      </c>
      <c r="C50" s="2">
        <v>0.875</v>
      </c>
      <c r="D50" s="2">
        <v>0.97599999999999998</v>
      </c>
      <c r="I50" s="2">
        <v>50</v>
      </c>
      <c r="J50" s="5" t="s">
        <v>12</v>
      </c>
      <c r="K50" s="2">
        <v>0.755</v>
      </c>
      <c r="L50" s="2">
        <v>0.97499999999999998</v>
      </c>
    </row>
    <row r="51" spans="1:12" x14ac:dyDescent="0.35">
      <c r="A51" s="2"/>
      <c r="B51" s="5" t="s">
        <v>3</v>
      </c>
      <c r="C51" s="2">
        <v>0.92900000000000005</v>
      </c>
      <c r="D51" s="2">
        <v>0.95599999999999996</v>
      </c>
      <c r="I51" s="2"/>
      <c r="J51" s="5" t="s">
        <v>3</v>
      </c>
      <c r="K51" s="2">
        <v>0.92900000000000005</v>
      </c>
      <c r="L51" s="2">
        <v>0.90100000000000002</v>
      </c>
    </row>
    <row r="52" spans="1:12" x14ac:dyDescent="0.35">
      <c r="A52" s="2"/>
      <c r="B52" s="5" t="s">
        <v>4</v>
      </c>
      <c r="C52" s="2">
        <v>0.90100000000000002</v>
      </c>
      <c r="D52" s="2">
        <v>0.96599999999999997</v>
      </c>
      <c r="I52" s="2"/>
      <c r="J52" s="5" t="s">
        <v>4</v>
      </c>
      <c r="K52" s="2">
        <v>0.83299999999999996</v>
      </c>
      <c r="L52" s="2">
        <v>0.93600000000000005</v>
      </c>
    </row>
    <row r="53" spans="1:12" x14ac:dyDescent="0.35">
      <c r="A53" s="2"/>
      <c r="B53" s="5"/>
      <c r="C53" s="2"/>
      <c r="D53" s="2"/>
      <c r="I53" s="2"/>
      <c r="J53" s="5"/>
      <c r="K53" s="2"/>
      <c r="L53" s="2"/>
    </row>
    <row r="54" spans="1:12" x14ac:dyDescent="0.35">
      <c r="A54" s="2">
        <v>51</v>
      </c>
      <c r="B54" s="5" t="s">
        <v>12</v>
      </c>
      <c r="C54" s="2">
        <v>0.96799999999999997</v>
      </c>
      <c r="D54" s="2">
        <v>0.97199999999999998</v>
      </c>
      <c r="I54" s="2">
        <v>51</v>
      </c>
      <c r="J54" s="5" t="s">
        <v>12</v>
      </c>
      <c r="K54" s="2">
        <v>0.85699999999999998</v>
      </c>
      <c r="L54" s="2">
        <v>0.95</v>
      </c>
    </row>
    <row r="55" spans="1:12" x14ac:dyDescent="0.35">
      <c r="A55" s="2"/>
      <c r="B55" s="5" t="s">
        <v>3</v>
      </c>
      <c r="C55" s="2">
        <v>0.90200000000000002</v>
      </c>
      <c r="D55" s="2">
        <v>0.99199999999999999</v>
      </c>
      <c r="I55" s="2"/>
      <c r="J55" s="5" t="s">
        <v>3</v>
      </c>
      <c r="K55" s="2">
        <v>0.82399999999999995</v>
      </c>
      <c r="L55" s="2">
        <v>0.96</v>
      </c>
    </row>
    <row r="56" spans="1:12" x14ac:dyDescent="0.35">
      <c r="A56" s="2"/>
      <c r="B56" s="5" t="s">
        <v>4</v>
      </c>
      <c r="C56" s="2">
        <v>0.93400000000000005</v>
      </c>
      <c r="D56" s="2">
        <v>0.98199999999999998</v>
      </c>
      <c r="I56" s="2"/>
      <c r="J56" s="5" t="s">
        <v>4</v>
      </c>
      <c r="K56" s="2">
        <v>0.84</v>
      </c>
      <c r="L56" s="2">
        <v>0.95499999999999996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Kalluru</dc:creator>
  <cp:lastModifiedBy>Aditi Kalluru</cp:lastModifiedBy>
  <dcterms:created xsi:type="dcterms:W3CDTF">2026-08-24T18:47:33Z</dcterms:created>
  <dcterms:modified xsi:type="dcterms:W3CDTF">2026-08-24T23:15:32Z</dcterms:modified>
</cp:coreProperties>
</file>